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roali\Desktop\exsel\"/>
    </mc:Choice>
  </mc:AlternateContent>
  <xr:revisionPtr revIDLastSave="0" documentId="13_ncr:1_{8F195428-1F20-41F5-BE75-0D95DE2CBDCC}" xr6:coauthVersionLast="47" xr6:coauthVersionMax="47" xr10:uidLastSave="{00000000-0000-0000-0000-000000000000}"/>
  <bookViews>
    <workbookView xWindow="-110" yWindow="-110" windowWidth="19420" windowHeight="10300" activeTab="2" xr2:uid="{6826874B-62FF-4DF5-BBF7-13A35C381E0A}"/>
  </bookViews>
  <sheets>
    <sheet name="customer" sheetId="1" r:id="rId1"/>
    <sheet name="products" sheetId="2" r:id="rId2"/>
    <sheet name="order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K2" i="4"/>
  <c r="L2" i="4" a="1"/>
  <c r="L2" i="4" s="1"/>
  <c r="L3" i="4" a="1"/>
  <c r="L3" i="4" s="1"/>
  <c r="L4" i="4" a="1"/>
  <c r="L4" i="4" s="1"/>
  <c r="L5" i="4" a="1"/>
  <c r="L5" i="4" s="1"/>
  <c r="L6" i="4" a="1"/>
  <c r="L6" i="4" s="1"/>
  <c r="L7" i="4" a="1"/>
  <c r="L7" i="4" s="1"/>
  <c r="L8" i="4" a="1"/>
  <c r="L8" i="4" s="1"/>
  <c r="L9" i="4" a="1"/>
  <c r="L9" i="4" s="1"/>
  <c r="L10" i="4" a="1"/>
  <c r="L10" i="4" s="1"/>
  <c r="L11" i="4" a="1"/>
  <c r="L11" i="4" s="1"/>
  <c r="L12" i="4" a="1"/>
  <c r="L12" i="4" s="1"/>
  <c r="L13" i="4" a="1"/>
  <c r="L13" i="4" s="1"/>
  <c r="L14" i="4" a="1"/>
  <c r="L14" i="4" s="1"/>
  <c r="L15" i="4" a="1"/>
  <c r="L15" i="4" s="1"/>
  <c r="L16" i="4" a="1"/>
  <c r="L16" i="4" s="1"/>
  <c r="L17" i="4" a="1"/>
  <c r="L17" i="4" s="1"/>
  <c r="L18" i="4" a="1"/>
  <c r="L18" i="4" s="1"/>
  <c r="L19" i="4" a="1"/>
  <c r="L19" i="4" s="1"/>
  <c r="L20" i="4" a="1"/>
  <c r="L20" i="4" s="1"/>
  <c r="L21" i="4" a="1"/>
  <c r="L21" i="4" s="1"/>
  <c r="L22" i="4" a="1"/>
  <c r="L22" i="4" s="1"/>
  <c r="L23" i="4" a="1"/>
  <c r="L23" i="4" s="1"/>
  <c r="L24" i="4" a="1"/>
  <c r="L24" i="4" s="1"/>
  <c r="L25" i="4" a="1"/>
  <c r="L25" i="4" s="1"/>
  <c r="L26" i="4" a="1"/>
  <c r="L26" i="4" s="1"/>
  <c r="L27" i="4" a="1"/>
  <c r="L27" i="4" s="1"/>
  <c r="L28" i="4" a="1"/>
  <c r="L28" i="4" s="1"/>
  <c r="L29" i="4" a="1"/>
  <c r="L29" i="4" s="1"/>
  <c r="L30" i="4" a="1"/>
  <c r="L30" i="4" s="1"/>
  <c r="L31" i="4" a="1"/>
  <c r="L31" i="4" s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F2" i="2"/>
  <c r="G2" i="2"/>
  <c r="G7" i="2"/>
  <c r="G3" i="2"/>
  <c r="G4" i="2"/>
  <c r="G5" i="2"/>
  <c r="G6" i="2"/>
  <c r="G8" i="2"/>
  <c r="G9" i="2"/>
  <c r="G10" i="2"/>
  <c r="G11" i="2"/>
  <c r="F3" i="2"/>
  <c r="F4" i="2"/>
  <c r="F5" i="2"/>
  <c r="F6" i="2"/>
  <c r="F7" i="2"/>
  <c r="F8" i="2"/>
  <c r="F9" i="2"/>
  <c r="F10" i="2"/>
  <c r="F11" i="2"/>
  <c r="E4" i="2"/>
  <c r="E3" i="2"/>
  <c r="E5" i="2"/>
  <c r="E6" i="2"/>
  <c r="E7" i="2"/>
  <c r="E8" i="2"/>
  <c r="E9" i="2"/>
  <c r="E10" i="2"/>
  <c r="E11" i="2"/>
  <c r="E2" i="2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<sst xmlns="http://schemas.openxmlformats.org/spreadsheetml/2006/main" count="185" uniqueCount="84">
  <si>
    <t>Column1</t>
  </si>
  <si>
    <t>Column2</t>
  </si>
  <si>
    <t>CustomerID</t>
  </si>
  <si>
    <t>Hudud</t>
  </si>
  <si>
    <t>C001</t>
  </si>
  <si>
    <t>Toshkent</t>
  </si>
  <si>
    <t>C002</t>
  </si>
  <si>
    <t>Samarqand</t>
  </si>
  <si>
    <t>C003</t>
  </si>
  <si>
    <t>Farg'ona</t>
  </si>
  <si>
    <t>C004</t>
  </si>
  <si>
    <t>Buxoro</t>
  </si>
  <si>
    <t>C005</t>
  </si>
  <si>
    <t>Xorazm</t>
  </si>
  <si>
    <t>C006</t>
  </si>
  <si>
    <t>Namangan</t>
  </si>
  <si>
    <t>C007</t>
  </si>
  <si>
    <t>Andijon</t>
  </si>
  <si>
    <t>C008</t>
  </si>
  <si>
    <t>C009</t>
  </si>
  <si>
    <t>Jizzax</t>
  </si>
  <si>
    <t>C010</t>
  </si>
  <si>
    <t>Navoiy</t>
  </si>
  <si>
    <t>Ism</t>
  </si>
  <si>
    <t>Sharif</t>
  </si>
  <si>
    <t>Alisher</t>
  </si>
  <si>
    <t>Malika</t>
  </si>
  <si>
    <t>Ortiqova</t>
  </si>
  <si>
    <t>Sardor</t>
  </si>
  <si>
    <t>Rahimov</t>
  </si>
  <si>
    <t>Nigora</t>
  </si>
  <si>
    <t>Jumayeva</t>
  </si>
  <si>
    <t>Aziz</t>
  </si>
  <si>
    <t>Toshmatov</t>
  </si>
  <si>
    <t>Madina</t>
  </si>
  <si>
    <t>Akramova</t>
  </si>
  <si>
    <t>Jasur</t>
  </si>
  <si>
    <t>Olimov</t>
  </si>
  <si>
    <t>Gulnoza</t>
  </si>
  <si>
    <t>Karimova</t>
  </si>
  <si>
    <t>Bobur</t>
  </si>
  <si>
    <t>Mansurov</t>
  </si>
  <si>
    <t>Shahlo</t>
  </si>
  <si>
    <t>Ergasheva</t>
  </si>
  <si>
    <t>Column3</t>
  </si>
  <si>
    <t>Column4</t>
  </si>
  <si>
    <t>ProductID</t>
  </si>
  <si>
    <t>Mahsulot</t>
  </si>
  <si>
    <t>Kategoriya</t>
  </si>
  <si>
    <t>Narx</t>
  </si>
  <si>
    <t>P-11</t>
  </si>
  <si>
    <t>Laptop</t>
  </si>
  <si>
    <t>Texnika</t>
  </si>
  <si>
    <t>P-22</t>
  </si>
  <si>
    <t>Mouse</t>
  </si>
  <si>
    <t>Aksessuar</t>
  </si>
  <si>
    <t>P-33</t>
  </si>
  <si>
    <t>Monitor</t>
  </si>
  <si>
    <t>P-44</t>
  </si>
  <si>
    <t>P-55</t>
  </si>
  <si>
    <t>Phone</t>
  </si>
  <si>
    <t>P-66</t>
  </si>
  <si>
    <t>P-77</t>
  </si>
  <si>
    <t>P-88</t>
  </si>
  <si>
    <t>Headphones</t>
  </si>
  <si>
    <t>Audio</t>
  </si>
  <si>
    <t>P-99</t>
  </si>
  <si>
    <t>Tablet</t>
  </si>
  <si>
    <t>P-00</t>
  </si>
  <si>
    <t>WebCam</t>
  </si>
  <si>
    <t>USB Drive</t>
  </si>
  <si>
    <t>OrderID</t>
  </si>
  <si>
    <t>Miqdor</t>
  </si>
  <si>
    <t>Status</t>
  </si>
  <si>
    <t>Yetkazildi</t>
  </si>
  <si>
    <t>Kutilmoqda</t>
  </si>
  <si>
    <t>Bekor qilindi</t>
  </si>
  <si>
    <t>xlookap</t>
  </si>
  <si>
    <t>IF_tekshirish</t>
  </si>
  <si>
    <t>vlookap</t>
  </si>
  <si>
    <t>and</t>
  </si>
  <si>
    <t>if_tekshirish</t>
  </si>
  <si>
    <t>not_ishlatish</t>
  </si>
  <si>
    <t>and_tekshirish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</si>
</sst>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  <charset val="204"/>
    </font>
    <font>
      <b/>
      <sz val="11"/>
      <name val="Arial"/>
      <family val="2"/>
      <charset val="204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2" borderId="0" xfId="0" applyFont="1" applyFill="1"/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4" fillId="2" borderId="0" xfId="0" applyFont="1" applyFill="1"/>
    <xf numFmtId="0" fontId="0" fillId="0" borderId="0" xfId="0" applyNumberFormat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 style="medium">
          <color rgb="FF000000"/>
        </top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solid">
          <fgColor indexed="64"/>
          <bgColor theme="6" tint="0.39997558519241921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7D6177-9B4E-4B7E-9E93-A583E6515175}" name="Table3" displayName="Table3" ref="A1:D11" headerRowDxfId="20" headerRowBorderDxfId="18" tableBorderDxfId="19" totalsRowBorderDxfId="17">
  <tableColumns count="4">
    <tableColumn id="1" xr3:uid="{7CC48380-4ED2-4B2B-B676-E6FE47604E98}" name="CustomerID" totalsRowLabel="Total" dataDxfId="15" totalsRowDxfId="16"/>
    <tableColumn id="2" xr3:uid="{9B4026CA-87B7-46CB-B7FF-AD0C903FCE76}" name="Ism" dataDxfId="13" totalsRowDxfId="14"/>
    <tableColumn id="5" xr3:uid="{B24E6462-9DCF-42D1-8989-B34EE78B3EB4}" name="Sharif" dataDxfId="11" totalsRowDxfId="12"/>
    <tableColumn id="3" xr3:uid="{4E164D45-F6BD-4965-B9A4-139AB4551BAD}" name="Hudud" totalsRowFunction="count" dataDxfId="9" totalsRowDxfId="1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A0EDF9F-3B17-4C04-A6EF-2023A18E4CFE}" name="Table10" displayName="Table10" ref="A1:M31" totalsRowShown="0" headerRowDxfId="8">
  <autoFilter ref="A1:M31" xr:uid="{CA0EDF9F-3B17-4C04-A6EF-2023A18E4CFE}"/>
  <tableColumns count="13">
    <tableColumn id="1" xr3:uid="{3E613FB3-8A67-49F9-8F9F-318D8297A991}" name="OrderID" dataDxfId="7"/>
    <tableColumn id="2" xr3:uid="{A2FA66FE-910F-4094-8D9D-0C484DC20504}" name="CustomerID"/>
    <tableColumn id="3" xr3:uid="{2186D34B-4CBB-4B15-B372-5DB79AAA039F}" name="ProductID"/>
    <tableColumn id="4" xr3:uid="{19D9DC37-A1BF-4351-BAE1-F94CAEEC635D}" name="Miqdor" dataDxfId="6"/>
    <tableColumn id="5" xr3:uid="{C480E692-3C3D-4BB3-BBB1-3CCE7A6F1B88}" name="Status"/>
    <tableColumn id="6" xr3:uid="{AF6CE80E-85AF-4388-8A4E-AA839BE7BE5A}" name="xlookap">
      <calculatedColumnFormula>_xlfn.XLOOKUP(C2,products!A:A,products!B:B,"Yoq")</calculatedColumnFormula>
    </tableColumn>
    <tableColumn id="7" xr3:uid="{F4873AC9-9F10-4F59-B8EC-3EA9A3C5EF98}" name="vlookap">
      <calculatedColumnFormula>VLOOKUP(C2, products!$A:$C, 2, 0)</calculatedColumnFormula>
    </tableColumn>
    <tableColumn id="8" xr3:uid="{7D1C9F53-3428-4DEF-985B-2816922EDB5D}" name="IF_tekshirish">
      <calculatedColumnFormula>IF(D2&gt;3, "katta buyurtma", "kichik")</calculatedColumnFormula>
    </tableColumn>
    <tableColumn id="9" xr3:uid="{4B1E1506-1B6A-4F22-8939-AB4D930AD875}" name="and">
      <calculatedColumnFormula>AND(SUM(D:D) &gt; 100, products!D1 &gt; 700)</calculatedColumnFormula>
    </tableColumn>
    <tableColumn id="12" xr3:uid="{B55A3CEB-85FA-4F3B-8C3B-3AF8D2C1E469}" name="Column1" dataDxfId="5">
      <calculatedColumnFormula>VLOOKUP(Table10[[#This Row],[ProductID]], products!A:E, 2, 0)</calculatedColumnFormula>
    </tableColumn>
    <tableColumn id="13" xr3:uid="{202178FA-D22F-4FB3-A007-66F7CCB03818}" name="Column2" dataDxfId="4">
      <calculatedColumnFormula>VLOOKUP(Table10[[#This Row],[OrderID]],Table10[[#All],[OrderID]:[Status]],4,0)</calculatedColumnFormula>
    </tableColumn>
    <tableColumn id="15" xr3:uid="{F0C70F34-6A7A-413B-A465-645B561207A1}" name="Column3" dataDxfId="3">
      <calculatedColumnFormula array="1">VLOOKUP(products!A:D,2,0)</calculatedColumnFormula>
    </tableColumn>
    <tableColumn id="17" xr3:uid="{4107930B-11B7-4B21-810D-842823AD3A30}" name="Column4" dataDxfId="2">
      <calculatedColumnFormula xml:space="preserve"> _xlfn.XLOOKUP(Table10[[#This Row],[ProductID]],products!A:A,products!D:D,0)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1E84-AB24-48D7-AFF8-8708F71BDF38}">
  <dimension ref="A1:D11"/>
  <sheetViews>
    <sheetView workbookViewId="0">
      <selection activeCell="F3" sqref="F3"/>
    </sheetView>
  </sheetViews>
  <sheetFormatPr defaultRowHeight="14.5" x14ac:dyDescent="0.35"/>
  <cols>
    <col min="1" max="1" width="11.81640625" bestFit="1" customWidth="1"/>
    <col min="2" max="2" width="8" bestFit="1" customWidth="1"/>
    <col min="3" max="3" width="10.7265625" bestFit="1" customWidth="1"/>
    <col min="4" max="4" width="10.90625" bestFit="1" customWidth="1"/>
    <col min="5" max="5" width="10.08984375" customWidth="1"/>
  </cols>
  <sheetData>
    <row r="1" spans="1:4" ht="15" thickBot="1" x14ac:dyDescent="0.4">
      <c r="A1" s="8" t="s">
        <v>2</v>
      </c>
      <c r="B1" s="9" t="s">
        <v>23</v>
      </c>
      <c r="C1" s="10" t="s">
        <v>24</v>
      </c>
      <c r="D1" s="10" t="s">
        <v>3</v>
      </c>
    </row>
    <row r="2" spans="1:4" ht="15" thickBot="1" x14ac:dyDescent="0.4">
      <c r="A2" s="2" t="s">
        <v>4</v>
      </c>
      <c r="B2" s="1" t="s">
        <v>25</v>
      </c>
      <c r="C2" s="11" t="s">
        <v>22</v>
      </c>
      <c r="D2" s="11" t="s">
        <v>5</v>
      </c>
    </row>
    <row r="3" spans="1:4" ht="18" customHeight="1" thickBot="1" x14ac:dyDescent="0.4">
      <c r="A3" s="2" t="s">
        <v>6</v>
      </c>
      <c r="B3" s="1" t="s">
        <v>26</v>
      </c>
      <c r="C3" s="3" t="s">
        <v>27</v>
      </c>
      <c r="D3" s="3" t="s">
        <v>7</v>
      </c>
    </row>
    <row r="4" spans="1:4" ht="15" thickBot="1" x14ac:dyDescent="0.4">
      <c r="A4" s="2" t="s">
        <v>8</v>
      </c>
      <c r="B4" s="1" t="s">
        <v>28</v>
      </c>
      <c r="C4" s="3" t="s">
        <v>29</v>
      </c>
      <c r="D4" s="3" t="s">
        <v>9</v>
      </c>
    </row>
    <row r="5" spans="1:4" ht="15" thickBot="1" x14ac:dyDescent="0.4">
      <c r="A5" s="2" t="s">
        <v>10</v>
      </c>
      <c r="B5" s="1" t="s">
        <v>30</v>
      </c>
      <c r="C5" s="3" t="s">
        <v>31</v>
      </c>
      <c r="D5" s="3" t="s">
        <v>11</v>
      </c>
    </row>
    <row r="6" spans="1:4" ht="15" thickBot="1" x14ac:dyDescent="0.4">
      <c r="A6" s="2" t="s">
        <v>12</v>
      </c>
      <c r="B6" s="1" t="s">
        <v>32</v>
      </c>
      <c r="C6" s="3" t="s">
        <v>33</v>
      </c>
      <c r="D6" s="3" t="s">
        <v>13</v>
      </c>
    </row>
    <row r="7" spans="1:4" ht="15.5" customHeight="1" thickBot="1" x14ac:dyDescent="0.4">
      <c r="A7" s="2" t="s">
        <v>14</v>
      </c>
      <c r="B7" s="1" t="s">
        <v>34</v>
      </c>
      <c r="C7" s="3" t="s">
        <v>35</v>
      </c>
      <c r="D7" s="3" t="s">
        <v>15</v>
      </c>
    </row>
    <row r="8" spans="1:4" ht="15" thickBot="1" x14ac:dyDescent="0.4">
      <c r="A8" s="2" t="s">
        <v>16</v>
      </c>
      <c r="B8" s="1" t="s">
        <v>36</v>
      </c>
      <c r="C8" s="3" t="s">
        <v>37</v>
      </c>
      <c r="D8" s="3" t="s">
        <v>17</v>
      </c>
    </row>
    <row r="9" spans="1:4" ht="15" thickBot="1" x14ac:dyDescent="0.4">
      <c r="A9" s="2" t="s">
        <v>18</v>
      </c>
      <c r="B9" s="1" t="s">
        <v>38</v>
      </c>
      <c r="C9" s="3" t="s">
        <v>39</v>
      </c>
      <c r="D9" s="3" t="s">
        <v>5</v>
      </c>
    </row>
    <row r="10" spans="1:4" ht="15" thickBot="1" x14ac:dyDescent="0.4">
      <c r="A10" s="2" t="s">
        <v>19</v>
      </c>
      <c r="B10" s="1" t="s">
        <v>40</v>
      </c>
      <c r="C10" s="3" t="s">
        <v>41</v>
      </c>
      <c r="D10" s="3" t="s">
        <v>20</v>
      </c>
    </row>
    <row r="11" spans="1:4" x14ac:dyDescent="0.35">
      <c r="A11" s="4" t="s">
        <v>21</v>
      </c>
      <c r="B11" s="5" t="s">
        <v>42</v>
      </c>
      <c r="C11" s="6" t="s">
        <v>43</v>
      </c>
      <c r="D11" s="6" t="s">
        <v>22</v>
      </c>
    </row>
  </sheetData>
  <conditionalFormatting sqref="A2:D11">
    <cfRule type="duplicateValues" dxfId="1" priority="3"/>
  </conditionalFormatting>
  <conditionalFormatting sqref="D2:D11">
    <cfRule type="containsText" dxfId="0" priority="1" operator="containsText" text="Toshkent">
      <formula>NOT(ISERROR(SEARCH("Toshkent",D2)))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34C4-5745-4F77-A327-B29D8E19466D}">
  <dimension ref="A1:G11"/>
  <sheetViews>
    <sheetView workbookViewId="0">
      <selection activeCell="H1" sqref="H1:H1048576"/>
    </sheetView>
  </sheetViews>
  <sheetFormatPr defaultRowHeight="14.5" x14ac:dyDescent="0.35"/>
  <cols>
    <col min="1" max="1" width="8.90625" bestFit="1" customWidth="1"/>
    <col min="3" max="3" width="9.1796875" bestFit="1" customWidth="1"/>
    <col min="5" max="5" width="11.1796875" bestFit="1" customWidth="1"/>
    <col min="6" max="6" width="11.6328125" bestFit="1" customWidth="1"/>
    <col min="7" max="7" width="13.26953125" bestFit="1" customWidth="1"/>
  </cols>
  <sheetData>
    <row r="1" spans="1:7" x14ac:dyDescent="0.35">
      <c r="A1" s="7" t="s">
        <v>46</v>
      </c>
      <c r="B1" s="7" t="s">
        <v>47</v>
      </c>
      <c r="C1" s="7" t="s">
        <v>48</v>
      </c>
      <c r="D1" s="7" t="s">
        <v>49</v>
      </c>
      <c r="E1" s="7" t="s">
        <v>81</v>
      </c>
      <c r="F1" s="7" t="s">
        <v>82</v>
      </c>
      <c r="G1" s="7" t="s">
        <v>83</v>
      </c>
    </row>
    <row r="2" spans="1:7" x14ac:dyDescent="0.35">
      <c r="A2" t="s">
        <v>50</v>
      </c>
      <c r="B2" t="s">
        <v>51</v>
      </c>
      <c r="C2" t="s">
        <v>52</v>
      </c>
      <c r="D2">
        <v>800</v>
      </c>
      <c r="E2" t="str">
        <f>IF(AND(C2="Texnika", D2&lt;200), "Tugri", "Notugri")</f>
        <v>Notugri</v>
      </c>
      <c r="F2" t="str">
        <f>IF(NOT(AND(C2="Texnika", D2=800)),"ha", "Yoq")</f>
        <v>Yoq</v>
      </c>
      <c r="G2" t="str">
        <f>IF(AND(C2="Texnika", D2=800),"ha","yuq")</f>
        <v>ha</v>
      </c>
    </row>
    <row r="3" spans="1:7" x14ac:dyDescent="0.35">
      <c r="A3" t="s">
        <v>53</v>
      </c>
      <c r="B3" t="s">
        <v>54</v>
      </c>
      <c r="C3" t="s">
        <v>55</v>
      </c>
      <c r="D3">
        <v>25</v>
      </c>
      <c r="E3" t="str">
        <f>IF(AND(C3="Texnika", D3&lt;200), "Tugri", "Notugri")</f>
        <v>Notugri</v>
      </c>
      <c r="F3" t="str">
        <f t="shared" ref="F3:F11" si="0">IF(NOT(AND(C3="Texnika", D3=800)),"ha", "Yoq")</f>
        <v>ha</v>
      </c>
      <c r="G3" t="str">
        <f t="shared" ref="G3:G11" si="1">IF(AND(C3="Texnika", D3=800),"ha","yuq")</f>
        <v>yuq</v>
      </c>
    </row>
    <row r="4" spans="1:7" x14ac:dyDescent="0.35">
      <c r="A4" t="s">
        <v>56</v>
      </c>
      <c r="B4" t="s">
        <v>57</v>
      </c>
      <c r="C4" t="s">
        <v>52</v>
      </c>
      <c r="D4">
        <v>150</v>
      </c>
      <c r="E4" t="str">
        <f>IF(AND(C4="Texnika", D4&lt;200), "Tugri", "Notugri")</f>
        <v>Tugri</v>
      </c>
      <c r="F4" t="str">
        <f t="shared" si="0"/>
        <v>ha</v>
      </c>
      <c r="G4" t="str">
        <f t="shared" si="1"/>
        <v>yuq</v>
      </c>
    </row>
    <row r="5" spans="1:7" x14ac:dyDescent="0.35">
      <c r="A5" t="s">
        <v>58</v>
      </c>
      <c r="B5" t="s">
        <v>51</v>
      </c>
      <c r="C5" t="s">
        <v>55</v>
      </c>
      <c r="D5">
        <v>40</v>
      </c>
      <c r="E5" t="str">
        <f t="shared" ref="E5:E11" si="2">IF(AND(C5="Texnika", D5&lt;200), "Tugri", "Notugri")</f>
        <v>Notugri</v>
      </c>
      <c r="F5" t="str">
        <f t="shared" si="0"/>
        <v>ha</v>
      </c>
      <c r="G5" t="str">
        <f t="shared" si="1"/>
        <v>yuq</v>
      </c>
    </row>
    <row r="6" spans="1:7" x14ac:dyDescent="0.35">
      <c r="A6" t="s">
        <v>59</v>
      </c>
      <c r="B6" t="s">
        <v>60</v>
      </c>
      <c r="C6" t="s">
        <v>52</v>
      </c>
      <c r="D6">
        <v>600</v>
      </c>
      <c r="E6" t="str">
        <f t="shared" si="2"/>
        <v>Notugri</v>
      </c>
      <c r="F6" t="str">
        <f t="shared" si="0"/>
        <v>ha</v>
      </c>
      <c r="G6" t="str">
        <f t="shared" si="1"/>
        <v>yuq</v>
      </c>
    </row>
    <row r="7" spans="1:7" x14ac:dyDescent="0.35">
      <c r="A7" t="s">
        <v>62</v>
      </c>
      <c r="B7" t="s">
        <v>51</v>
      </c>
      <c r="C7" t="s">
        <v>52</v>
      </c>
      <c r="D7">
        <v>800</v>
      </c>
      <c r="E7" t="str">
        <f t="shared" si="2"/>
        <v>Notugri</v>
      </c>
      <c r="F7" t="str">
        <f t="shared" si="0"/>
        <v>Yoq</v>
      </c>
      <c r="G7" t="str">
        <f>IF(AND(C7="Texnika", D7=800),"ha","yuq")</f>
        <v>ha</v>
      </c>
    </row>
    <row r="8" spans="1:7" x14ac:dyDescent="0.35">
      <c r="A8" t="s">
        <v>62</v>
      </c>
      <c r="B8" t="s">
        <v>70</v>
      </c>
      <c r="C8" t="s">
        <v>55</v>
      </c>
      <c r="D8">
        <v>15</v>
      </c>
      <c r="E8" t="str">
        <f t="shared" si="2"/>
        <v>Notugri</v>
      </c>
      <c r="F8" t="str">
        <f t="shared" si="0"/>
        <v>ha</v>
      </c>
      <c r="G8" t="str">
        <f t="shared" si="1"/>
        <v>yuq</v>
      </c>
    </row>
    <row r="9" spans="1:7" x14ac:dyDescent="0.35">
      <c r="A9" t="s">
        <v>50</v>
      </c>
      <c r="B9" t="s">
        <v>64</v>
      </c>
      <c r="C9" t="s">
        <v>65</v>
      </c>
      <c r="D9">
        <v>50</v>
      </c>
      <c r="E9" t="str">
        <f t="shared" si="2"/>
        <v>Notugri</v>
      </c>
      <c r="F9" t="str">
        <f t="shared" si="0"/>
        <v>ha</v>
      </c>
      <c r="G9" t="str">
        <f t="shared" si="1"/>
        <v>yuq</v>
      </c>
    </row>
    <row r="10" spans="1:7" x14ac:dyDescent="0.35">
      <c r="A10" t="s">
        <v>66</v>
      </c>
      <c r="B10" t="s">
        <v>67</v>
      </c>
      <c r="C10" t="s">
        <v>52</v>
      </c>
      <c r="D10">
        <v>350</v>
      </c>
      <c r="E10" t="str">
        <f t="shared" si="2"/>
        <v>Notugri</v>
      </c>
      <c r="F10" t="str">
        <f t="shared" si="0"/>
        <v>ha</v>
      </c>
      <c r="G10" t="str">
        <f t="shared" si="1"/>
        <v>yuq</v>
      </c>
    </row>
    <row r="11" spans="1:7" x14ac:dyDescent="0.35">
      <c r="A11" t="s">
        <v>68</v>
      </c>
      <c r="B11" t="s">
        <v>69</v>
      </c>
      <c r="C11" t="s">
        <v>65</v>
      </c>
      <c r="D11">
        <v>60</v>
      </c>
      <c r="E11" t="str">
        <f t="shared" si="2"/>
        <v>Notugri</v>
      </c>
      <c r="F11" t="str">
        <f t="shared" si="0"/>
        <v>ha</v>
      </c>
      <c r="G11" t="str">
        <f t="shared" si="1"/>
        <v>yuq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EB49-EADA-492C-B38A-9E73A0CC1AE7}">
  <dimension ref="A1:M31"/>
  <sheetViews>
    <sheetView tabSelected="1" workbookViewId="0">
      <selection activeCell="N1" sqref="N1:N1048576"/>
    </sheetView>
  </sheetViews>
  <sheetFormatPr defaultRowHeight="14.5" x14ac:dyDescent="0.35"/>
  <cols>
    <col min="1" max="1" width="9.26953125" customWidth="1"/>
    <col min="2" max="2" width="12.81640625" customWidth="1"/>
    <col min="3" max="3" width="11.1796875" customWidth="1"/>
    <col min="4" max="4" width="8.6328125" customWidth="1"/>
    <col min="5" max="5" width="10.6328125" bestFit="1" customWidth="1"/>
    <col min="6" max="6" width="11" bestFit="1" customWidth="1"/>
    <col min="7" max="7" width="11" customWidth="1"/>
    <col min="8" max="8" width="13.54296875" customWidth="1"/>
    <col min="12" max="12" width="0" hidden="1" customWidth="1"/>
  </cols>
  <sheetData>
    <row r="1" spans="1:13" ht="19" customHeight="1" x14ac:dyDescent="0.35">
      <c r="A1" s="13" t="s">
        <v>71</v>
      </c>
      <c r="B1" s="13" t="s">
        <v>2</v>
      </c>
      <c r="C1" s="13" t="s">
        <v>46</v>
      </c>
      <c r="D1" s="13" t="s">
        <v>72</v>
      </c>
      <c r="E1" s="13" t="s">
        <v>73</v>
      </c>
      <c r="F1" s="13" t="s">
        <v>77</v>
      </c>
      <c r="G1" s="13" t="s">
        <v>79</v>
      </c>
      <c r="H1" s="13" t="s">
        <v>78</v>
      </c>
      <c r="I1" s="13" t="s">
        <v>80</v>
      </c>
      <c r="J1" s="13" t="s">
        <v>0</v>
      </c>
      <c r="K1" s="13" t="s">
        <v>1</v>
      </c>
      <c r="L1" s="13" t="s">
        <v>44</v>
      </c>
      <c r="M1" s="13" t="s">
        <v>45</v>
      </c>
    </row>
    <row r="2" spans="1:13" x14ac:dyDescent="0.35">
      <c r="A2" s="12">
        <v>5001</v>
      </c>
      <c r="B2" t="s">
        <v>4</v>
      </c>
      <c r="C2" t="s">
        <v>50</v>
      </c>
      <c r="D2" s="12">
        <v>2</v>
      </c>
      <c r="E2" t="s">
        <v>74</v>
      </c>
      <c r="F2" t="str">
        <f>_xlfn.XLOOKUP(C2,products!A:A,products!B:B,"Yoq")</f>
        <v>Laptop</v>
      </c>
      <c r="G2" t="str">
        <f>VLOOKUP(C2, products!$A:$C, 2, 0)</f>
        <v>Laptop</v>
      </c>
      <c r="H2" t="str">
        <f>IF(D2&gt;3, "katta buyurtma", "kichik")</f>
        <v>kichik</v>
      </c>
      <c r="I2" t="b">
        <f>AND(SUM(D:D) &gt; 100, products!D1 &gt; 300)</f>
        <v>0</v>
      </c>
      <c r="J2" t="str">
        <f>VLOOKUP(Table10[[#This Row],[ProductID]], products!A:E, 2, 0)</f>
        <v>Laptop</v>
      </c>
      <c r="K2">
        <f>VLOOKUP(Table10[[#This Row],[OrderID]],Table10[[#All],[OrderID]:[Status]],4,0)</f>
        <v>2</v>
      </c>
      <c r="L2" t="e" cm="1" vm="1">
        <f t="array" aca="1" ref="L2" ca="1">VLOOKUP(products!A:D,2,0)</f>
        <v>#VALUE!</v>
      </c>
      <c r="M2" s="14">
        <f xml:space="preserve"> _xlfn.XLOOKUP(Table10[[#This Row],[ProductID]],products!A:A,products!D:D,0)</f>
        <v>800</v>
      </c>
    </row>
    <row r="3" spans="1:13" x14ac:dyDescent="0.35">
      <c r="A3" s="12">
        <v>5002</v>
      </c>
      <c r="B3" t="s">
        <v>8</v>
      </c>
      <c r="C3" t="s">
        <v>56</v>
      </c>
      <c r="D3" s="12">
        <v>2</v>
      </c>
      <c r="E3" t="s">
        <v>75</v>
      </c>
      <c r="F3" t="str">
        <f>_xlfn.XLOOKUP(C3,products!A:A,products!B:B,"Yoq")</f>
        <v>Monitor</v>
      </c>
      <c r="G3" t="str">
        <f>VLOOKUP(C3, products!$A:$C, 2, 0)</f>
        <v>Monitor</v>
      </c>
      <c r="H3" t="str">
        <f t="shared" ref="H3:H31" si="0">IF(D3&gt;3, "katta buyurtma", "kichik")</f>
        <v>kichik</v>
      </c>
      <c r="I3" t="b">
        <f>AND(SUM(D:D) &gt; 100, products!D2 &gt; 700)</f>
        <v>0</v>
      </c>
      <c r="J3" t="str">
        <f>VLOOKUP(Table10[[#This Row],[ProductID]], products!A:E, 2, 0)</f>
        <v>Monitor</v>
      </c>
      <c r="K3">
        <f>VLOOKUP(Table10[[#This Row],[OrderID]],Table10[[#All],[OrderID]:[Status]],4,0)</f>
        <v>2</v>
      </c>
      <c r="L3" t="e" cm="1" vm="1">
        <f t="array" aca="1" ref="L3" ca="1">VLOOKUP(products!A:D,2,0)</f>
        <v>#VALUE!</v>
      </c>
      <c r="M3" s="14">
        <f xml:space="preserve"> _xlfn.XLOOKUP(Table10[[#This Row],[ProductID]],products!A:A,products!D:D,0)</f>
        <v>150</v>
      </c>
    </row>
    <row r="4" spans="1:13" x14ac:dyDescent="0.35">
      <c r="A4" s="12">
        <v>5003</v>
      </c>
      <c r="B4" t="s">
        <v>12</v>
      </c>
      <c r="C4" t="s">
        <v>53</v>
      </c>
      <c r="D4" s="12">
        <v>5</v>
      </c>
      <c r="E4" t="s">
        <v>74</v>
      </c>
      <c r="F4" t="str">
        <f>_xlfn.XLOOKUP(C4,products!A:A,products!B:B,"Yoq")</f>
        <v>Mouse</v>
      </c>
      <c r="G4" t="str">
        <f>VLOOKUP(C4, products!$A:$C, 2, 0)</f>
        <v>Mouse</v>
      </c>
      <c r="H4" t="str">
        <f t="shared" si="0"/>
        <v>katta buyurtma</v>
      </c>
      <c r="I4" t="b">
        <f>AND(SUM(D:D) &gt; 100, products!D3 &gt; 700)</f>
        <v>0</v>
      </c>
      <c r="J4" t="str">
        <f>VLOOKUP(Table10[[#This Row],[ProductID]], products!A:E, 2, 0)</f>
        <v>Mouse</v>
      </c>
      <c r="K4">
        <f>VLOOKUP(Table10[[#This Row],[OrderID]],Table10[[#All],[OrderID]:[Status]],4,0)</f>
        <v>5</v>
      </c>
      <c r="L4" t="e" cm="1" vm="1">
        <f t="array" aca="1" ref="L4" ca="1">VLOOKUP(products!A:D,2,0)</f>
        <v>#VALUE!</v>
      </c>
      <c r="M4" s="14">
        <f xml:space="preserve"> _xlfn.XLOOKUP(Table10[[#This Row],[ProductID]],products!A:A,products!D:D,0)</f>
        <v>25</v>
      </c>
    </row>
    <row r="5" spans="1:13" x14ac:dyDescent="0.35">
      <c r="A5" s="12">
        <v>5004</v>
      </c>
      <c r="B5" t="s">
        <v>6</v>
      </c>
      <c r="C5" t="s">
        <v>50</v>
      </c>
      <c r="D5" s="12">
        <v>1</v>
      </c>
      <c r="E5" t="s">
        <v>76</v>
      </c>
      <c r="F5" t="str">
        <f>_xlfn.XLOOKUP(C5,products!A:A,products!B:B,"Yoq")</f>
        <v>Laptop</v>
      </c>
      <c r="G5" t="str">
        <f>VLOOKUP(C5, products!$A:$C, 2, 0)</f>
        <v>Laptop</v>
      </c>
      <c r="H5" t="str">
        <f t="shared" si="0"/>
        <v>kichik</v>
      </c>
      <c r="I5" t="b">
        <f>AND(SUM(D:D) &gt; 100, products!D4 &gt; 700)</f>
        <v>0</v>
      </c>
      <c r="J5" t="str">
        <f>VLOOKUP(Table10[[#This Row],[ProductID]], products!A:E, 2, 0)</f>
        <v>Laptop</v>
      </c>
      <c r="K5">
        <f>VLOOKUP(Table10[[#This Row],[OrderID]],Table10[[#All],[OrderID]:[Status]],4,0)</f>
        <v>1</v>
      </c>
      <c r="L5" t="e" cm="1" vm="1">
        <f t="array" aca="1" ref="L5" ca="1">VLOOKUP(products!A:D,2,0)</f>
        <v>#VALUE!</v>
      </c>
      <c r="M5" s="14">
        <f xml:space="preserve"> _xlfn.XLOOKUP(Table10[[#This Row],[ProductID]],products!A:A,products!D:D,0)</f>
        <v>800</v>
      </c>
    </row>
    <row r="6" spans="1:13" x14ac:dyDescent="0.35">
      <c r="A6" s="12">
        <v>5005</v>
      </c>
      <c r="B6" t="s">
        <v>21</v>
      </c>
      <c r="C6" t="s">
        <v>59</v>
      </c>
      <c r="D6" s="12">
        <v>1</v>
      </c>
      <c r="E6" t="s">
        <v>74</v>
      </c>
      <c r="F6" t="str">
        <f>_xlfn.XLOOKUP(C6,products!A:A,products!B:B,"Yoq")</f>
        <v>Phone</v>
      </c>
      <c r="G6" t="str">
        <f>VLOOKUP(C6, products!$A:$C, 2, 0)</f>
        <v>Phone</v>
      </c>
      <c r="H6" t="str">
        <f t="shared" si="0"/>
        <v>kichik</v>
      </c>
      <c r="I6" t="b">
        <f>AND(SUM(D:D) &gt; 100, products!D5 &gt; 700)</f>
        <v>0</v>
      </c>
      <c r="J6" t="str">
        <f>VLOOKUP(Table10[[#This Row],[ProductID]], products!A:E, 2, 0)</f>
        <v>Phone</v>
      </c>
      <c r="K6">
        <f>VLOOKUP(Table10[[#This Row],[OrderID]],Table10[[#All],[OrderID]:[Status]],4,0)</f>
        <v>1</v>
      </c>
      <c r="L6" t="e" cm="1" vm="1">
        <f t="array" aca="1" ref="L6" ca="1">VLOOKUP(products!A:D,2,0)</f>
        <v>#VALUE!</v>
      </c>
      <c r="M6" s="14">
        <f xml:space="preserve"> _xlfn.XLOOKUP(Table10[[#This Row],[ProductID]],products!A:A,products!D:D,0)</f>
        <v>600</v>
      </c>
    </row>
    <row r="7" spans="1:13" x14ac:dyDescent="0.35">
      <c r="A7" s="12">
        <v>5006</v>
      </c>
      <c r="B7" t="s">
        <v>16</v>
      </c>
      <c r="C7" t="s">
        <v>62</v>
      </c>
      <c r="D7" s="12">
        <v>10</v>
      </c>
      <c r="E7" t="s">
        <v>74</v>
      </c>
      <c r="F7" t="str">
        <f>_xlfn.XLOOKUP(C7,products!A:A,products!B:B,"Yoq")</f>
        <v>Laptop</v>
      </c>
      <c r="G7" t="str">
        <f>VLOOKUP(C7, products!$A:$C, 2, 0)</f>
        <v>Laptop</v>
      </c>
      <c r="H7" t="str">
        <f t="shared" si="0"/>
        <v>katta buyurtma</v>
      </c>
      <c r="I7" t="b">
        <f>AND(SUM(D:D) &gt; 100, products!D6 &gt; 700)</f>
        <v>0</v>
      </c>
      <c r="J7" t="str">
        <f>VLOOKUP(Table10[[#This Row],[ProductID]], products!A:E, 2, 0)</f>
        <v>Laptop</v>
      </c>
      <c r="K7">
        <f>VLOOKUP(Table10[[#This Row],[OrderID]],Table10[[#All],[OrderID]:[Status]],4,0)</f>
        <v>10</v>
      </c>
      <c r="L7" t="e" cm="1" vm="1">
        <f t="array" aca="1" ref="L7" ca="1">VLOOKUP(products!A:D,2,0)</f>
        <v>#VALUE!</v>
      </c>
      <c r="M7" s="14">
        <f xml:space="preserve"> _xlfn.XLOOKUP(Table10[[#This Row],[ProductID]],products!A:A,products!D:D,0)</f>
        <v>800</v>
      </c>
    </row>
    <row r="8" spans="1:13" x14ac:dyDescent="0.35">
      <c r="A8" s="12">
        <v>5007</v>
      </c>
      <c r="B8" t="s">
        <v>10</v>
      </c>
      <c r="C8" t="s">
        <v>58</v>
      </c>
      <c r="D8" s="12">
        <v>3</v>
      </c>
      <c r="E8" t="s">
        <v>75</v>
      </c>
      <c r="F8" t="str">
        <f>_xlfn.XLOOKUP(C8,products!A:A,products!B:B,"Yoq")</f>
        <v>Laptop</v>
      </c>
      <c r="G8" t="str">
        <f>VLOOKUP(C8, products!$A:$C, 2, 0)</f>
        <v>Laptop</v>
      </c>
      <c r="H8" t="str">
        <f t="shared" si="0"/>
        <v>kichik</v>
      </c>
      <c r="I8" t="b">
        <f>AND(SUM(D:D) &gt; 100, products!D7 &gt; 700)</f>
        <v>0</v>
      </c>
      <c r="J8" t="str">
        <f>VLOOKUP(Table10[[#This Row],[ProductID]], products!A:E, 2, 0)</f>
        <v>Laptop</v>
      </c>
      <c r="K8">
        <f>VLOOKUP(Table10[[#This Row],[OrderID]],Table10[[#All],[OrderID]:[Status]],4,0)</f>
        <v>3</v>
      </c>
      <c r="L8" t="e" cm="1" vm="1">
        <f t="array" aca="1" ref="L8" ca="1">VLOOKUP(products!A:D,2,0)</f>
        <v>#VALUE!</v>
      </c>
      <c r="M8" s="14">
        <f xml:space="preserve"> _xlfn.XLOOKUP(Table10[[#This Row],[ProductID]],products!A:A,products!D:D,0)</f>
        <v>40</v>
      </c>
    </row>
    <row r="9" spans="1:13" x14ac:dyDescent="0.35">
      <c r="A9" s="12">
        <v>5008</v>
      </c>
      <c r="B9" t="s">
        <v>18</v>
      </c>
      <c r="C9" t="s">
        <v>56</v>
      </c>
      <c r="D9" s="12">
        <v>1</v>
      </c>
      <c r="E9" t="s">
        <v>74</v>
      </c>
      <c r="F9" t="str">
        <f>_xlfn.XLOOKUP(C9,products!A:A,products!B:B,"Yoq")</f>
        <v>Monitor</v>
      </c>
      <c r="G9" t="str">
        <f>VLOOKUP(C9, products!$A:$C, 2, 0)</f>
        <v>Monitor</v>
      </c>
      <c r="H9" t="str">
        <f t="shared" si="0"/>
        <v>kichik</v>
      </c>
      <c r="I9" t="b">
        <f>AND(SUM(D:D) &gt; 100, products!D8 &gt; 700)</f>
        <v>0</v>
      </c>
      <c r="J9" t="str">
        <f>VLOOKUP(Table10[[#This Row],[ProductID]], products!A:E, 2, 0)</f>
        <v>Monitor</v>
      </c>
      <c r="K9">
        <f>VLOOKUP(Table10[[#This Row],[OrderID]],Table10[[#All],[OrderID]:[Status]],4,0)</f>
        <v>1</v>
      </c>
      <c r="L9" t="e" cm="1" vm="1">
        <f t="array" aca="1" ref="L9" ca="1">VLOOKUP(products!A:D,2,0)</f>
        <v>#VALUE!</v>
      </c>
      <c r="M9" s="14">
        <f xml:space="preserve"> _xlfn.XLOOKUP(Table10[[#This Row],[ProductID]],products!A:A,products!D:D,0)</f>
        <v>150</v>
      </c>
    </row>
    <row r="10" spans="1:13" x14ac:dyDescent="0.35">
      <c r="A10" s="12">
        <v>5009</v>
      </c>
      <c r="B10" t="s">
        <v>4</v>
      </c>
      <c r="C10" t="s">
        <v>61</v>
      </c>
      <c r="D10" s="12">
        <v>2</v>
      </c>
      <c r="E10" t="s">
        <v>76</v>
      </c>
      <c r="F10" t="str">
        <f>_xlfn.XLOOKUP(C10,products!A:A,products!B:B,"Yoq")</f>
        <v>Yoq</v>
      </c>
      <c r="G10" t="e">
        <f>VLOOKUP(C10, products!$A:$C, 2, 0)</f>
        <v>#N/A</v>
      </c>
      <c r="H10" t="str">
        <f t="shared" si="0"/>
        <v>kichik</v>
      </c>
      <c r="I10" t="b">
        <f>AND(SUM(D:D) &gt; 100, products!D9 &gt; 700)</f>
        <v>0</v>
      </c>
      <c r="J10" t="e">
        <f>VLOOKUP(Table10[[#This Row],[ProductID]], products!A:E, 2, 0)</f>
        <v>#N/A</v>
      </c>
      <c r="K10">
        <f>VLOOKUP(Table10[[#This Row],[OrderID]],Table10[[#All],[OrderID]:[Status]],4,0)</f>
        <v>2</v>
      </c>
      <c r="L10" t="e" cm="1" vm="1">
        <f t="array" aca="1" ref="L10" ca="1">VLOOKUP(products!A:D,2,0)</f>
        <v>#VALUE!</v>
      </c>
      <c r="M10" s="14">
        <f xml:space="preserve"> _xlfn.XLOOKUP(Table10[[#This Row],[ProductID]],products!A:A,products!D:D,0)</f>
        <v>0</v>
      </c>
    </row>
    <row r="11" spans="1:13" x14ac:dyDescent="0.35">
      <c r="A11" s="12">
        <v>5010</v>
      </c>
      <c r="B11" t="s">
        <v>14</v>
      </c>
      <c r="C11" t="s">
        <v>59</v>
      </c>
      <c r="D11" s="12">
        <v>1</v>
      </c>
      <c r="E11" t="s">
        <v>74</v>
      </c>
      <c r="F11" t="str">
        <f>_xlfn.XLOOKUP(C11,products!A:A,products!B:B,"Yoq")</f>
        <v>Phone</v>
      </c>
      <c r="G11" t="str">
        <f>VLOOKUP(C11, products!$A:$C, 2, 0)</f>
        <v>Phone</v>
      </c>
      <c r="H11" t="str">
        <f t="shared" si="0"/>
        <v>kichik</v>
      </c>
      <c r="I11" t="b">
        <f>AND(SUM(D:D) &gt; 100, products!D10 &gt; 700)</f>
        <v>0</v>
      </c>
      <c r="J11" t="str">
        <f>VLOOKUP(Table10[[#This Row],[ProductID]], products!A:E, 2, 0)</f>
        <v>Phone</v>
      </c>
      <c r="K11">
        <f>VLOOKUP(Table10[[#This Row],[OrderID]],Table10[[#All],[OrderID]:[Status]],4,0)</f>
        <v>1</v>
      </c>
      <c r="L11" t="e" cm="1" vm="1">
        <f t="array" aca="1" ref="L11" ca="1">VLOOKUP(products!A:D,2,0)</f>
        <v>#VALUE!</v>
      </c>
      <c r="M11" s="14">
        <f xml:space="preserve"> _xlfn.XLOOKUP(Table10[[#This Row],[ProductID]],products!A:A,products!D:D,0)</f>
        <v>600</v>
      </c>
    </row>
    <row r="12" spans="1:13" x14ac:dyDescent="0.35">
      <c r="A12" s="12">
        <v>5011</v>
      </c>
      <c r="B12" t="s">
        <v>19</v>
      </c>
      <c r="C12" t="s">
        <v>58</v>
      </c>
      <c r="D12" s="12">
        <v>4</v>
      </c>
      <c r="E12" t="s">
        <v>75</v>
      </c>
      <c r="F12" t="str">
        <f>_xlfn.XLOOKUP(C12,products!A:A,products!B:B,"Yoq")</f>
        <v>Laptop</v>
      </c>
      <c r="G12" t="str">
        <f>VLOOKUP(C12, products!$A:$C, 2, 0)</f>
        <v>Laptop</v>
      </c>
      <c r="H12" t="str">
        <f t="shared" si="0"/>
        <v>katta buyurtma</v>
      </c>
      <c r="I12" t="b">
        <f>AND(SUM(D:D) &gt; 100, products!D11 &gt; 700)</f>
        <v>0</v>
      </c>
      <c r="J12" t="str">
        <f>VLOOKUP(Table10[[#This Row],[ProductID]], products!A:E, 2, 0)</f>
        <v>Laptop</v>
      </c>
      <c r="K12">
        <f>VLOOKUP(Table10[[#This Row],[OrderID]],Table10[[#All],[OrderID]:[Status]],4,0)</f>
        <v>4</v>
      </c>
      <c r="L12" t="e" cm="1" vm="1">
        <f t="array" aca="1" ref="L12" ca="1">VLOOKUP(products!A:D,2,0)</f>
        <v>#VALUE!</v>
      </c>
      <c r="M12" s="14">
        <f xml:space="preserve"> _xlfn.XLOOKUP(Table10[[#This Row],[ProductID]],products!A:A,products!D:D,0)</f>
        <v>40</v>
      </c>
    </row>
    <row r="13" spans="1:13" x14ac:dyDescent="0.35">
      <c r="A13" s="12">
        <v>5012</v>
      </c>
      <c r="B13" t="s">
        <v>6</v>
      </c>
      <c r="C13" t="s">
        <v>63</v>
      </c>
      <c r="D13" s="12">
        <v>2</v>
      </c>
      <c r="E13" t="s">
        <v>74</v>
      </c>
      <c r="F13" t="str">
        <f>_xlfn.XLOOKUP(C13,products!A:A,products!B:B,"Yoq")</f>
        <v>Yoq</v>
      </c>
      <c r="G13" t="e">
        <f>VLOOKUP(C13, products!$A:$C, 2, 0)</f>
        <v>#N/A</v>
      </c>
      <c r="H13" t="str">
        <f t="shared" si="0"/>
        <v>kichik</v>
      </c>
      <c r="I13" t="b">
        <f>AND(SUM(D:D) &gt; 100, products!D12 &gt; 700)</f>
        <v>0</v>
      </c>
      <c r="J13" t="e">
        <f>VLOOKUP(Table10[[#This Row],[ProductID]], products!A:E, 2, 0)</f>
        <v>#N/A</v>
      </c>
      <c r="K13">
        <f>VLOOKUP(Table10[[#This Row],[OrderID]],Table10[[#All],[OrderID]:[Status]],4,0)</f>
        <v>2</v>
      </c>
      <c r="L13" t="e" cm="1" vm="1">
        <f t="array" aca="1" ref="L13" ca="1">VLOOKUP(products!A:D,2,0)</f>
        <v>#VALUE!</v>
      </c>
      <c r="M13" s="14">
        <f xml:space="preserve"> _xlfn.XLOOKUP(Table10[[#This Row],[ProductID]],products!A:A,products!D:D,0)</f>
        <v>0</v>
      </c>
    </row>
    <row r="14" spans="1:13" x14ac:dyDescent="0.35">
      <c r="A14" s="12">
        <v>5013</v>
      </c>
      <c r="B14" t="s">
        <v>8</v>
      </c>
      <c r="C14" t="s">
        <v>68</v>
      </c>
      <c r="D14" s="12">
        <v>1</v>
      </c>
      <c r="E14" t="s">
        <v>74</v>
      </c>
      <c r="F14" t="str">
        <f>_xlfn.XLOOKUP(C14,products!A:A,products!B:B,"Yoq")</f>
        <v>WebCam</v>
      </c>
      <c r="G14" t="str">
        <f>VLOOKUP(C14, products!$A:$C, 2, 0)</f>
        <v>WebCam</v>
      </c>
      <c r="H14" t="str">
        <f t="shared" si="0"/>
        <v>kichik</v>
      </c>
      <c r="I14" t="b">
        <f>AND(SUM(D:D) &gt; 100, products!D13 &gt; 700)</f>
        <v>0</v>
      </c>
      <c r="J14" t="str">
        <f>VLOOKUP(Table10[[#This Row],[ProductID]], products!A:E, 2, 0)</f>
        <v>WebCam</v>
      </c>
      <c r="K14">
        <f>VLOOKUP(Table10[[#This Row],[OrderID]],Table10[[#All],[OrderID]:[Status]],4,0)</f>
        <v>1</v>
      </c>
      <c r="L14" t="e" cm="1" vm="1">
        <f t="array" aca="1" ref="L14" ca="1">VLOOKUP(products!A:D,2,0)</f>
        <v>#VALUE!</v>
      </c>
      <c r="M14" s="14">
        <f xml:space="preserve"> _xlfn.XLOOKUP(Table10[[#This Row],[ProductID]],products!A:A,products!D:D,0)</f>
        <v>60</v>
      </c>
    </row>
    <row r="15" spans="1:13" x14ac:dyDescent="0.35">
      <c r="A15" s="12">
        <v>5014</v>
      </c>
      <c r="B15" t="s">
        <v>12</v>
      </c>
      <c r="C15" t="s">
        <v>50</v>
      </c>
      <c r="D15" s="12">
        <v>1</v>
      </c>
      <c r="E15" t="s">
        <v>75</v>
      </c>
      <c r="F15" t="str">
        <f>_xlfn.XLOOKUP(C15,products!A:A,products!B:B,"Yoq")</f>
        <v>Laptop</v>
      </c>
      <c r="G15" t="str">
        <f>VLOOKUP(C15, products!$A:$C, 2, 0)</f>
        <v>Laptop</v>
      </c>
      <c r="H15" t="str">
        <f t="shared" si="0"/>
        <v>kichik</v>
      </c>
      <c r="I15" t="b">
        <f>AND(SUM(D:D) &gt; 100, products!D14 &gt; 700)</f>
        <v>0</v>
      </c>
      <c r="J15" t="str">
        <f>VLOOKUP(Table10[[#This Row],[ProductID]], products!A:E, 2, 0)</f>
        <v>Laptop</v>
      </c>
      <c r="K15">
        <f>VLOOKUP(Table10[[#This Row],[OrderID]],Table10[[#All],[OrderID]:[Status]],4,0)</f>
        <v>1</v>
      </c>
      <c r="L15" t="e" cm="1" vm="1">
        <f t="array" aca="1" ref="L15" ca="1">VLOOKUP(products!A:D,2,0)</f>
        <v>#VALUE!</v>
      </c>
      <c r="M15" s="14">
        <f xml:space="preserve"> _xlfn.XLOOKUP(Table10[[#This Row],[ProductID]],products!A:A,products!D:D,0)</f>
        <v>800</v>
      </c>
    </row>
    <row r="16" spans="1:13" x14ac:dyDescent="0.35">
      <c r="A16" s="12">
        <v>5015</v>
      </c>
      <c r="B16" t="s">
        <v>4</v>
      </c>
      <c r="C16" t="s">
        <v>53</v>
      </c>
      <c r="D16" s="12">
        <v>3</v>
      </c>
      <c r="E16" t="s">
        <v>74</v>
      </c>
      <c r="F16" t="str">
        <f>_xlfn.XLOOKUP(C16,products!A:A,products!B:B,"Yoq")</f>
        <v>Mouse</v>
      </c>
      <c r="G16" t="str">
        <f>VLOOKUP(C16, products!$A:$C, 2, 0)</f>
        <v>Mouse</v>
      </c>
      <c r="H16" t="str">
        <f t="shared" si="0"/>
        <v>kichik</v>
      </c>
      <c r="I16" t="b">
        <f>AND(SUM(D:D) &gt; 100, products!D15 &gt; 700)</f>
        <v>0</v>
      </c>
      <c r="J16" t="str">
        <f>VLOOKUP(Table10[[#This Row],[ProductID]], products!A:E, 2, 0)</f>
        <v>Mouse</v>
      </c>
      <c r="K16">
        <f>VLOOKUP(Table10[[#This Row],[OrderID]],Table10[[#All],[OrderID]:[Status]],4,0)</f>
        <v>3</v>
      </c>
      <c r="L16" t="e" cm="1" vm="1">
        <f t="array" aca="1" ref="L16" ca="1">VLOOKUP(products!A:D,2,0)</f>
        <v>#VALUE!</v>
      </c>
      <c r="M16" s="14">
        <f xml:space="preserve"> _xlfn.XLOOKUP(Table10[[#This Row],[ProductID]],products!A:A,products!D:D,0)</f>
        <v>25</v>
      </c>
    </row>
    <row r="17" spans="1:13" x14ac:dyDescent="0.35">
      <c r="A17" s="12">
        <v>5016</v>
      </c>
      <c r="B17" t="s">
        <v>18</v>
      </c>
      <c r="C17" t="s">
        <v>66</v>
      </c>
      <c r="D17" s="12">
        <v>2</v>
      </c>
      <c r="E17" t="s">
        <v>76</v>
      </c>
      <c r="F17" t="str">
        <f>_xlfn.XLOOKUP(C17,products!A:A,products!B:B,"Yoq")</f>
        <v>Tablet</v>
      </c>
      <c r="G17" t="str">
        <f>VLOOKUP(C17, products!$A:$C, 2, 0)</f>
        <v>Tablet</v>
      </c>
      <c r="H17" t="str">
        <f t="shared" si="0"/>
        <v>kichik</v>
      </c>
      <c r="I17" t="b">
        <f>AND(SUM(D:D) &gt; 100, products!D16 &gt; 700)</f>
        <v>0</v>
      </c>
      <c r="J17" t="str">
        <f>VLOOKUP(Table10[[#This Row],[ProductID]], products!A:E, 2, 0)</f>
        <v>Tablet</v>
      </c>
      <c r="K17">
        <f>VLOOKUP(Table10[[#This Row],[OrderID]],Table10[[#All],[OrderID]:[Status]],4,0)</f>
        <v>2</v>
      </c>
      <c r="L17" t="e" cm="1" vm="1">
        <f t="array" aca="1" ref="L17" ca="1">VLOOKUP(products!A:D,2,0)</f>
        <v>#VALUE!</v>
      </c>
      <c r="M17" s="14">
        <f xml:space="preserve"> _xlfn.XLOOKUP(Table10[[#This Row],[ProductID]],products!A:A,products!D:D,0)</f>
        <v>350</v>
      </c>
    </row>
    <row r="18" spans="1:13" x14ac:dyDescent="0.35">
      <c r="A18" s="12">
        <v>5017</v>
      </c>
      <c r="B18" t="s">
        <v>21</v>
      </c>
      <c r="C18" t="s">
        <v>59</v>
      </c>
      <c r="D18" s="12">
        <v>1</v>
      </c>
      <c r="E18" t="s">
        <v>74</v>
      </c>
      <c r="F18" t="str">
        <f>_xlfn.XLOOKUP(C18,products!A:A,products!B:B,"Yoq")</f>
        <v>Phone</v>
      </c>
      <c r="G18" t="str">
        <f>VLOOKUP(C18, products!$A:$C, 2, 0)</f>
        <v>Phone</v>
      </c>
      <c r="H18" t="str">
        <f t="shared" si="0"/>
        <v>kichik</v>
      </c>
      <c r="I18" t="b">
        <f>AND(SUM(D:D) &gt; 100, products!D17 &gt; 700)</f>
        <v>0</v>
      </c>
      <c r="J18" t="str">
        <f>VLOOKUP(Table10[[#This Row],[ProductID]], products!A:E, 2, 0)</f>
        <v>Phone</v>
      </c>
      <c r="K18">
        <f>VLOOKUP(Table10[[#This Row],[OrderID]],Table10[[#All],[OrderID]:[Status]],4,0)</f>
        <v>1</v>
      </c>
      <c r="L18" t="e" cm="1" vm="1">
        <f t="array" aca="1" ref="L18" ca="1">VLOOKUP(products!A:D,2,0)</f>
        <v>#VALUE!</v>
      </c>
      <c r="M18" s="14">
        <f xml:space="preserve"> _xlfn.XLOOKUP(Table10[[#This Row],[ProductID]],products!A:A,products!D:D,0)</f>
        <v>600</v>
      </c>
    </row>
    <row r="19" spans="1:13" x14ac:dyDescent="0.35">
      <c r="A19" s="12">
        <v>5018</v>
      </c>
      <c r="B19" t="s">
        <v>10</v>
      </c>
      <c r="C19" t="s">
        <v>58</v>
      </c>
      <c r="D19" s="12">
        <v>2</v>
      </c>
      <c r="E19" t="s">
        <v>74</v>
      </c>
      <c r="F19" t="str">
        <f>_xlfn.XLOOKUP(C19,products!A:A,products!B:B,"Yoq")</f>
        <v>Laptop</v>
      </c>
      <c r="G19" t="str">
        <f>VLOOKUP(C19, products!$A:$C, 2, 0)</f>
        <v>Laptop</v>
      </c>
      <c r="H19" t="str">
        <f t="shared" si="0"/>
        <v>kichik</v>
      </c>
      <c r="I19" t="b">
        <f>AND(SUM(D:D) &gt; 100, products!D18 &gt; 700)</f>
        <v>0</v>
      </c>
      <c r="J19" t="str">
        <f>VLOOKUP(Table10[[#This Row],[ProductID]], products!A:E, 2, 0)</f>
        <v>Laptop</v>
      </c>
      <c r="K19">
        <f>VLOOKUP(Table10[[#This Row],[OrderID]],Table10[[#All],[OrderID]:[Status]],4,0)</f>
        <v>2</v>
      </c>
      <c r="L19" t="e" cm="1" vm="1">
        <f t="array" aca="1" ref="L19" ca="1">VLOOKUP(products!A:D,2,0)</f>
        <v>#VALUE!</v>
      </c>
      <c r="M19" s="14">
        <f xml:space="preserve"> _xlfn.XLOOKUP(Table10[[#This Row],[ProductID]],products!A:A,products!D:D,0)</f>
        <v>40</v>
      </c>
    </row>
    <row r="20" spans="1:13" x14ac:dyDescent="0.35">
      <c r="A20" s="12">
        <v>5019</v>
      </c>
      <c r="B20" t="s">
        <v>16</v>
      </c>
      <c r="C20" t="s">
        <v>62</v>
      </c>
      <c r="D20" s="12">
        <v>5</v>
      </c>
      <c r="E20" t="s">
        <v>75</v>
      </c>
      <c r="F20" t="str">
        <f>_xlfn.XLOOKUP(C20,products!A:A,products!B:B,"Yoq")</f>
        <v>Laptop</v>
      </c>
      <c r="G20" t="str">
        <f>VLOOKUP(C20, products!$A:$C, 2, 0)</f>
        <v>Laptop</v>
      </c>
      <c r="H20" t="str">
        <f t="shared" si="0"/>
        <v>katta buyurtma</v>
      </c>
      <c r="I20" t="b">
        <f>AND(SUM(D:D) &gt; 100, products!D19 &gt; 700)</f>
        <v>0</v>
      </c>
      <c r="J20" t="str">
        <f>VLOOKUP(Table10[[#This Row],[ProductID]], products!A:E, 2, 0)</f>
        <v>Laptop</v>
      </c>
      <c r="K20">
        <f>VLOOKUP(Table10[[#This Row],[OrderID]],Table10[[#All],[OrderID]:[Status]],4,0)</f>
        <v>5</v>
      </c>
      <c r="L20" t="e" cm="1" vm="1">
        <f t="array" aca="1" ref="L20" ca="1">VLOOKUP(products!A:D,2,0)</f>
        <v>#VALUE!</v>
      </c>
      <c r="M20" s="14">
        <f xml:space="preserve"> _xlfn.XLOOKUP(Table10[[#This Row],[ProductID]],products!A:A,products!D:D,0)</f>
        <v>800</v>
      </c>
    </row>
    <row r="21" spans="1:13" x14ac:dyDescent="0.35">
      <c r="A21" s="12">
        <v>5020</v>
      </c>
      <c r="B21" t="s">
        <v>6</v>
      </c>
      <c r="C21" t="s">
        <v>56</v>
      </c>
      <c r="D21" s="12">
        <v>1</v>
      </c>
      <c r="E21" t="s">
        <v>74</v>
      </c>
      <c r="F21" t="str">
        <f>_xlfn.XLOOKUP(C21,products!A:A,products!B:B,"Yoq")</f>
        <v>Monitor</v>
      </c>
      <c r="G21" t="str">
        <f>VLOOKUP(C21, products!$A:$C, 2, 0)</f>
        <v>Monitor</v>
      </c>
      <c r="H21" t="str">
        <f t="shared" si="0"/>
        <v>kichik</v>
      </c>
      <c r="I21" t="b">
        <f>AND(SUM(D:D) &gt; 100, products!D20 &gt; 700)</f>
        <v>0</v>
      </c>
      <c r="J21" t="str">
        <f>VLOOKUP(Table10[[#This Row],[ProductID]], products!A:E, 2, 0)</f>
        <v>Monitor</v>
      </c>
      <c r="K21">
        <f>VLOOKUP(Table10[[#This Row],[OrderID]],Table10[[#All],[OrderID]:[Status]],4,0)</f>
        <v>1</v>
      </c>
      <c r="L21" t="e" cm="1" vm="1">
        <f t="array" aca="1" ref="L21" ca="1">VLOOKUP(products!A:D,2,0)</f>
        <v>#VALUE!</v>
      </c>
      <c r="M21" s="14">
        <f xml:space="preserve"> _xlfn.XLOOKUP(Table10[[#This Row],[ProductID]],products!A:A,products!D:D,0)</f>
        <v>150</v>
      </c>
    </row>
    <row r="22" spans="1:13" x14ac:dyDescent="0.35">
      <c r="A22" s="12">
        <v>5021</v>
      </c>
      <c r="B22" t="s">
        <v>14</v>
      </c>
      <c r="C22" t="s">
        <v>68</v>
      </c>
      <c r="D22" s="12">
        <v>2</v>
      </c>
      <c r="E22" t="s">
        <v>74</v>
      </c>
      <c r="F22" t="str">
        <f>_xlfn.XLOOKUP(C22,products!A:A,products!B:B,"Yoq")</f>
        <v>WebCam</v>
      </c>
      <c r="G22" t="str">
        <f>VLOOKUP(C22, products!$A:$C, 2, 0)</f>
        <v>WebCam</v>
      </c>
      <c r="H22" t="str">
        <f t="shared" si="0"/>
        <v>kichik</v>
      </c>
      <c r="I22" t="b">
        <f>AND(SUM(D:D) &gt; 100, products!D21 &gt; 700)</f>
        <v>0</v>
      </c>
      <c r="J22" t="str">
        <f>VLOOKUP(Table10[[#This Row],[ProductID]], products!A:E, 2, 0)</f>
        <v>WebCam</v>
      </c>
      <c r="K22">
        <f>VLOOKUP(Table10[[#This Row],[OrderID]],Table10[[#All],[OrderID]:[Status]],4,0)</f>
        <v>2</v>
      </c>
      <c r="L22" t="e" cm="1" vm="1">
        <f t="array" aca="1" ref="L22" ca="1">VLOOKUP(products!A:D,2,0)</f>
        <v>#VALUE!</v>
      </c>
      <c r="M22" s="14">
        <f xml:space="preserve"> _xlfn.XLOOKUP(Table10[[#This Row],[ProductID]],products!A:A,products!D:D,0)</f>
        <v>60</v>
      </c>
    </row>
    <row r="23" spans="1:13" x14ac:dyDescent="0.35">
      <c r="A23" s="12">
        <v>5022</v>
      </c>
      <c r="B23" t="s">
        <v>19</v>
      </c>
      <c r="C23" t="s">
        <v>50</v>
      </c>
      <c r="D23" s="12">
        <v>1</v>
      </c>
      <c r="E23" t="s">
        <v>76</v>
      </c>
      <c r="F23" t="str">
        <f>_xlfn.XLOOKUP(C23,products!A:A,products!B:B,"Yoq")</f>
        <v>Laptop</v>
      </c>
      <c r="G23" t="str">
        <f>VLOOKUP(C23, products!$A:$C, 2, 0)</f>
        <v>Laptop</v>
      </c>
      <c r="H23" t="str">
        <f t="shared" si="0"/>
        <v>kichik</v>
      </c>
      <c r="I23" t="b">
        <f>AND(SUM(D:D) &gt; 100, products!D22 &gt; 700)</f>
        <v>0</v>
      </c>
      <c r="J23" t="str">
        <f>VLOOKUP(Table10[[#This Row],[ProductID]], products!A:E, 2, 0)</f>
        <v>Laptop</v>
      </c>
      <c r="K23">
        <f>VLOOKUP(Table10[[#This Row],[OrderID]],Table10[[#All],[OrderID]:[Status]],4,0)</f>
        <v>1</v>
      </c>
      <c r="L23" t="e" cm="1" vm="1">
        <f t="array" aca="1" ref="L23" ca="1">VLOOKUP(products!A:D,2,0)</f>
        <v>#VALUE!</v>
      </c>
      <c r="M23" s="14">
        <f xml:space="preserve"> _xlfn.XLOOKUP(Table10[[#This Row],[ProductID]],products!A:A,products!D:D,0)</f>
        <v>800</v>
      </c>
    </row>
    <row r="24" spans="1:13" x14ac:dyDescent="0.35">
      <c r="A24" s="12">
        <v>5023</v>
      </c>
      <c r="B24" t="s">
        <v>8</v>
      </c>
      <c r="C24" t="s">
        <v>63</v>
      </c>
      <c r="D24" s="12">
        <v>3</v>
      </c>
      <c r="E24" t="s">
        <v>74</v>
      </c>
      <c r="F24" t="str">
        <f>_xlfn.XLOOKUP(C24,products!A:A,products!B:B,"Yoq")</f>
        <v>Yoq</v>
      </c>
      <c r="G24" t="e">
        <f>VLOOKUP(C24, products!$A:$C, 2, 0)</f>
        <v>#N/A</v>
      </c>
      <c r="H24" t="str">
        <f t="shared" si="0"/>
        <v>kichik</v>
      </c>
      <c r="I24" t="b">
        <f>AND(SUM(D:D) &gt; 100, products!D23 &gt; 700)</f>
        <v>0</v>
      </c>
      <c r="J24" t="e">
        <f>VLOOKUP(Table10[[#This Row],[ProductID]], products!A:E, 2, 0)</f>
        <v>#N/A</v>
      </c>
      <c r="K24">
        <f>VLOOKUP(Table10[[#This Row],[OrderID]],Table10[[#All],[OrderID]:[Status]],4,0)</f>
        <v>3</v>
      </c>
      <c r="L24" t="e" cm="1" vm="1">
        <f t="array" aca="1" ref="L24" ca="1">VLOOKUP(products!A:D,2,0)</f>
        <v>#VALUE!</v>
      </c>
      <c r="M24" s="14">
        <f xml:space="preserve"> _xlfn.XLOOKUP(Table10[[#This Row],[ProductID]],products!A:A,products!D:D,0)</f>
        <v>0</v>
      </c>
    </row>
    <row r="25" spans="1:13" x14ac:dyDescent="0.35">
      <c r="A25" s="12">
        <v>5024</v>
      </c>
      <c r="B25" t="s">
        <v>4</v>
      </c>
      <c r="C25" t="s">
        <v>59</v>
      </c>
      <c r="D25" s="12">
        <v>1</v>
      </c>
      <c r="E25" t="s">
        <v>75</v>
      </c>
      <c r="F25" t="str">
        <f>_xlfn.XLOOKUP(C25,products!A:A,products!B:B,"Yoq")</f>
        <v>Phone</v>
      </c>
      <c r="G25" t="str">
        <f>VLOOKUP(C25, products!$A:$C, 2, 0)</f>
        <v>Phone</v>
      </c>
      <c r="H25" t="str">
        <f t="shared" si="0"/>
        <v>kichik</v>
      </c>
      <c r="I25" t="b">
        <f>AND(SUM(D:D) &gt; 100, products!D24 &gt; 700)</f>
        <v>0</v>
      </c>
      <c r="J25" t="str">
        <f>VLOOKUP(Table10[[#This Row],[ProductID]], products!A:E, 2, 0)</f>
        <v>Phone</v>
      </c>
      <c r="K25">
        <f>VLOOKUP(Table10[[#This Row],[OrderID]],Table10[[#All],[OrderID]:[Status]],4,0)</f>
        <v>1</v>
      </c>
      <c r="L25" t="e" cm="1" vm="1">
        <f t="array" aca="1" ref="L25" ca="1">VLOOKUP(products!A:D,2,0)</f>
        <v>#VALUE!</v>
      </c>
      <c r="M25" s="14">
        <f xml:space="preserve"> _xlfn.XLOOKUP(Table10[[#This Row],[ProductID]],products!A:A,products!D:D,0)</f>
        <v>600</v>
      </c>
    </row>
    <row r="26" spans="1:13" x14ac:dyDescent="0.35">
      <c r="A26" s="12">
        <v>5025</v>
      </c>
      <c r="B26" t="s">
        <v>12</v>
      </c>
      <c r="C26" t="s">
        <v>53</v>
      </c>
      <c r="D26" s="12">
        <v>8</v>
      </c>
      <c r="E26" t="s">
        <v>74</v>
      </c>
      <c r="F26" t="str">
        <f>_xlfn.XLOOKUP(C26,products!A:A,products!B:B,"Yoq")</f>
        <v>Mouse</v>
      </c>
      <c r="G26" t="str">
        <f>VLOOKUP(C26, products!$A:$C, 2, 0)</f>
        <v>Mouse</v>
      </c>
      <c r="H26" t="str">
        <f t="shared" si="0"/>
        <v>katta buyurtma</v>
      </c>
      <c r="I26" t="b">
        <f>AND(SUM(D:D) &gt; 100, products!D25 &gt; 700)</f>
        <v>0</v>
      </c>
      <c r="J26" t="str">
        <f>VLOOKUP(Table10[[#This Row],[ProductID]], products!A:E, 2, 0)</f>
        <v>Mouse</v>
      </c>
      <c r="K26">
        <f>VLOOKUP(Table10[[#This Row],[OrderID]],Table10[[#All],[OrderID]:[Status]],4,0)</f>
        <v>8</v>
      </c>
      <c r="L26" t="e" cm="1" vm="1">
        <f t="array" aca="1" ref="L26" ca="1">VLOOKUP(products!A:D,2,0)</f>
        <v>#VALUE!</v>
      </c>
      <c r="M26" s="14">
        <f xml:space="preserve"> _xlfn.XLOOKUP(Table10[[#This Row],[ProductID]],products!A:A,products!D:D,0)</f>
        <v>25</v>
      </c>
    </row>
    <row r="27" spans="1:13" x14ac:dyDescent="0.35">
      <c r="A27" s="12">
        <v>5026</v>
      </c>
      <c r="B27" t="s">
        <v>18</v>
      </c>
      <c r="C27" t="s">
        <v>56</v>
      </c>
      <c r="D27" s="12">
        <v>1</v>
      </c>
      <c r="E27" t="s">
        <v>74</v>
      </c>
      <c r="F27" t="str">
        <f>_xlfn.XLOOKUP(C27,products!A:A,products!B:B,"Yoq")</f>
        <v>Monitor</v>
      </c>
      <c r="G27" t="str">
        <f>VLOOKUP(C27, products!$A:$C, 2, 0)</f>
        <v>Monitor</v>
      </c>
      <c r="H27" t="str">
        <f t="shared" si="0"/>
        <v>kichik</v>
      </c>
      <c r="I27" t="b">
        <f>AND(SUM(D:D) &gt; 100, products!D26 &gt; 700)</f>
        <v>0</v>
      </c>
      <c r="J27" t="str">
        <f>VLOOKUP(Table10[[#This Row],[ProductID]], products!A:E, 2, 0)</f>
        <v>Monitor</v>
      </c>
      <c r="K27">
        <f>VLOOKUP(Table10[[#This Row],[OrderID]],Table10[[#All],[OrderID]:[Status]],4,0)</f>
        <v>1</v>
      </c>
      <c r="L27" t="e" cm="1" vm="1">
        <f t="array" aca="1" ref="L27" ca="1">VLOOKUP(products!A:D,2,0)</f>
        <v>#VALUE!</v>
      </c>
      <c r="M27" s="14">
        <f xml:space="preserve"> _xlfn.XLOOKUP(Table10[[#This Row],[ProductID]],products!A:A,products!D:D,0)</f>
        <v>150</v>
      </c>
    </row>
    <row r="28" spans="1:13" x14ac:dyDescent="0.35">
      <c r="A28" s="12">
        <v>5027</v>
      </c>
      <c r="B28" t="s">
        <v>10</v>
      </c>
      <c r="C28" t="s">
        <v>61</v>
      </c>
      <c r="D28" s="12">
        <v>1</v>
      </c>
      <c r="E28" t="s">
        <v>76</v>
      </c>
      <c r="F28" t="str">
        <f>_xlfn.XLOOKUP(C28,products!A:A,products!B:B,"Yoq")</f>
        <v>Yoq</v>
      </c>
      <c r="G28" t="e">
        <f>VLOOKUP(C28, products!$A:$C, 2, 0)</f>
        <v>#N/A</v>
      </c>
      <c r="H28" t="str">
        <f t="shared" si="0"/>
        <v>kichik</v>
      </c>
      <c r="I28" t="b">
        <f>AND(SUM(D:D) &gt; 100, products!D27 &gt; 700)</f>
        <v>0</v>
      </c>
      <c r="J28" t="e">
        <f>VLOOKUP(Table10[[#This Row],[ProductID]], products!A:E, 2, 0)</f>
        <v>#N/A</v>
      </c>
      <c r="K28">
        <f>VLOOKUP(Table10[[#This Row],[OrderID]],Table10[[#All],[OrderID]:[Status]],4,0)</f>
        <v>1</v>
      </c>
      <c r="L28" t="e" cm="1" vm="1">
        <f t="array" aca="1" ref="L28" ca="1">VLOOKUP(products!A:D,2,0)</f>
        <v>#VALUE!</v>
      </c>
      <c r="M28" s="14">
        <f xml:space="preserve"> _xlfn.XLOOKUP(Table10[[#This Row],[ProductID]],products!A:A,products!D:D,0)</f>
        <v>0</v>
      </c>
    </row>
    <row r="29" spans="1:13" x14ac:dyDescent="0.35">
      <c r="A29" s="12">
        <v>5028</v>
      </c>
      <c r="B29" t="s">
        <v>21</v>
      </c>
      <c r="C29" t="s">
        <v>58</v>
      </c>
      <c r="D29" s="12">
        <v>2</v>
      </c>
      <c r="E29" t="s">
        <v>74</v>
      </c>
      <c r="F29" t="str">
        <f>_xlfn.XLOOKUP(C29,products!A:A,products!B:B,"Yoq")</f>
        <v>Laptop</v>
      </c>
      <c r="G29" t="str">
        <f>VLOOKUP(C29, products!$A:$C, 2, 0)</f>
        <v>Laptop</v>
      </c>
      <c r="H29" t="str">
        <f t="shared" si="0"/>
        <v>kichik</v>
      </c>
      <c r="I29" t="b">
        <f>AND(SUM(D:D) &gt; 100, products!D28 &gt; 700)</f>
        <v>0</v>
      </c>
      <c r="J29" t="str">
        <f>VLOOKUP(Table10[[#This Row],[ProductID]], products!A:E, 2, 0)</f>
        <v>Laptop</v>
      </c>
      <c r="K29">
        <f>VLOOKUP(Table10[[#This Row],[OrderID]],Table10[[#All],[OrderID]:[Status]],4,0)</f>
        <v>2</v>
      </c>
      <c r="L29" t="e" cm="1" vm="1">
        <f t="array" aca="1" ref="L29" ca="1">VLOOKUP(products!A:D,2,0)</f>
        <v>#VALUE!</v>
      </c>
      <c r="M29" s="14">
        <f xml:space="preserve"> _xlfn.XLOOKUP(Table10[[#This Row],[ProductID]],products!A:A,products!D:D,0)</f>
        <v>40</v>
      </c>
    </row>
    <row r="30" spans="1:13" x14ac:dyDescent="0.35">
      <c r="A30" s="12">
        <v>5029</v>
      </c>
      <c r="B30" t="s">
        <v>16</v>
      </c>
      <c r="C30" t="s">
        <v>66</v>
      </c>
      <c r="D30" s="12">
        <v>1</v>
      </c>
      <c r="E30" t="s">
        <v>74</v>
      </c>
      <c r="F30" t="str">
        <f>_xlfn.XLOOKUP(C30,products!A:A,products!B:B,"Yoq")</f>
        <v>Tablet</v>
      </c>
      <c r="G30" t="str">
        <f>VLOOKUP(C30, products!$A:$C, 2, 0)</f>
        <v>Tablet</v>
      </c>
      <c r="H30" t="str">
        <f t="shared" si="0"/>
        <v>kichik</v>
      </c>
      <c r="I30" t="b">
        <f>AND(SUM(D:D) &gt; 100, products!D29 &gt; 700)</f>
        <v>0</v>
      </c>
      <c r="J30" t="str">
        <f>VLOOKUP(Table10[[#This Row],[ProductID]], products!A:E, 2, 0)</f>
        <v>Tablet</v>
      </c>
      <c r="K30">
        <f>VLOOKUP(Table10[[#This Row],[OrderID]],Table10[[#All],[OrderID]:[Status]],4,0)</f>
        <v>1</v>
      </c>
      <c r="L30" t="e" cm="1" vm="1">
        <f t="array" aca="1" ref="L30" ca="1">VLOOKUP(products!A:D,2,0)</f>
        <v>#VALUE!</v>
      </c>
      <c r="M30" s="14">
        <f xml:space="preserve"> _xlfn.XLOOKUP(Table10[[#This Row],[ProductID]],products!A:A,products!D:D,0)</f>
        <v>350</v>
      </c>
    </row>
    <row r="31" spans="1:13" x14ac:dyDescent="0.35">
      <c r="A31" s="12">
        <v>5030</v>
      </c>
      <c r="B31" t="s">
        <v>6</v>
      </c>
      <c r="C31" t="s">
        <v>53</v>
      </c>
      <c r="D31" s="12">
        <v>4</v>
      </c>
      <c r="E31" t="s">
        <v>75</v>
      </c>
      <c r="F31" t="str">
        <f>_xlfn.XLOOKUP(C31,products!A:A,products!B:B,"Yoq")</f>
        <v>Mouse</v>
      </c>
      <c r="G31" t="str">
        <f>VLOOKUP(C31, products!$A:$C, 2, 0)</f>
        <v>Mouse</v>
      </c>
      <c r="H31" t="str">
        <f t="shared" si="0"/>
        <v>katta buyurtma</v>
      </c>
      <c r="I31" t="b">
        <f>AND(SUM(D:D) &gt; 100, products!D30 &gt; 700)</f>
        <v>0</v>
      </c>
      <c r="J31" t="str">
        <f>VLOOKUP(Table10[[#This Row],[ProductID]], products!A:E, 2, 0)</f>
        <v>Mouse</v>
      </c>
      <c r="K31">
        <f>VLOOKUP(Table10[[#This Row],[OrderID]],Table10[[#All],[OrderID]:[Status]],4,0)</f>
        <v>4</v>
      </c>
      <c r="L31" t="e" cm="1" vm="1">
        <f t="array" aca="1" ref="L31" ca="1">VLOOKUP(products!A:D,2,0)</f>
        <v>#VALUE!</v>
      </c>
      <c r="M31" s="14">
        <f xml:space="preserve"> _xlfn.XLOOKUP(Table10[[#This Row],[ProductID]],products!A:A,products!D:D,0)</f>
        <v>25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safarovhamroali@outlook.com</dc:creator>
  <cp:lastModifiedBy>safarovhamroali@outlook.com</cp:lastModifiedBy>
  <dcterms:created xsi:type="dcterms:W3CDTF">2026-04-07T05:48:32Z</dcterms:created>
  <dcterms:modified xsi:type="dcterms:W3CDTF">2026-04-08T11:15:01Z</dcterms:modified>
</cp:coreProperties>
</file>